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13_ncr:1_{BBD4829D-0094-4993-9A0F-B7CA2390EB52}" xr6:coauthVersionLast="47" xr6:coauthVersionMax="47" xr10:uidLastSave="{00000000-0000-0000-0000-000000000000}"/>
  <bookViews>
    <workbookView xWindow="-22125" yWindow="3420" windowWidth="18180" windowHeight="11370" xr2:uid="{00000000-000D-0000-FFFF-FFFF00000000}"/>
  </bookViews>
  <sheets>
    <sheet name="설문문항_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H4" i="1" s="1"/>
  <c r="G5" i="1"/>
  <c r="H5" i="1" s="1"/>
  <c r="G6" i="1"/>
  <c r="H6" i="1" s="1"/>
  <c r="G7" i="1"/>
  <c r="H7" i="1" s="1"/>
  <c r="G8" i="1"/>
  <c r="H8" i="1" s="1"/>
  <c r="G9" i="1"/>
  <c r="H9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</calcChain>
</file>

<file path=xl/sharedStrings.xml><?xml version="1.0" encoding="utf-8"?>
<sst xmlns="http://schemas.openxmlformats.org/spreadsheetml/2006/main" count="81" uniqueCount="64">
  <si>
    <t>업무에 필요한 배경 정보와 필요 자료를 함께 제시한다</t>
  </si>
  <si>
    <t>부탁하기 전에 나에 대해 좋은 감정을 갖도록 만든다.</t>
  </si>
  <si>
    <t>상대방이 업무를 훌륭히 수행할 수 있음을 항상 말한다 .</t>
  </si>
  <si>
    <t>업무수행에 필요한 자문을 수시로 동료에게 구한다.</t>
  </si>
  <si>
    <t>목표 달성을 위해 동료들의 지원과 협력을 이끌어 낸다.</t>
  </si>
  <si>
    <t>나는 종종 당신을 위해 무엇인가를 하겠다고 동료들에게 이야기한다.</t>
  </si>
  <si>
    <t xml:space="preserve">구성원에게 논리와 근거를 바탕으로 원하는 행동을 요구한다. </t>
  </si>
  <si>
    <t xml:space="preserve">요구하는 것이 회사의 규칙이나 정책에 부합된다고 말해준다. </t>
  </si>
  <si>
    <t>부하에게 내가 원하는 것을 행하도록 지시한다.</t>
  </si>
  <si>
    <t xml:space="preserve">구성원에게 이 일이 왜 중요하고 꼭 필요한지를 설명하고 일을 지시한다.  </t>
  </si>
  <si>
    <t xml:space="preserve">업무수행과 관련하여 좋은 방법을 알고 있으면 알려달라 하지 않아도 적극 알려준다. </t>
  </si>
  <si>
    <t>나의 요구를 관철시키기 위하여 상급자의 지원을 받는다.</t>
  </si>
  <si>
    <t>과거에 내가 들어주었던 부탁을 상기시키며 이번에는 나의 요청을 들어줄 차례라는 암시를 준다.</t>
  </si>
  <si>
    <t>구성원에게 바라는 것이 조직에서 정한 업무 분장 가운데 하나임을 상기시킨다.</t>
  </si>
  <si>
    <t>요구를 하기 전에 먼저 상대방에게 우호적으로 행동한다.</t>
    <phoneticPr fontId="4" type="noConversion"/>
  </si>
  <si>
    <r>
      <t>그가 더 나은 방법을 제시할 수 없다면 내가 지시한대로 일을 해야 한다고 이야기 한다</t>
    </r>
    <r>
      <rPr>
        <sz val="13"/>
        <color rgb="FF000000"/>
        <rFont val="Arial"/>
        <family val="2"/>
      </rPr>
      <t>.</t>
    </r>
  </si>
  <si>
    <r>
      <t>요구할 때 겸손하게 행동한다</t>
    </r>
    <r>
      <rPr>
        <sz val="13"/>
        <color rgb="FF000000"/>
        <rFont val="Arial"/>
        <family val="2"/>
      </rPr>
      <t>.</t>
    </r>
  </si>
  <si>
    <r>
      <t>상대방이 업무를 남들보다 뛰어나게 할 수 있음을 항상 상기시킨다</t>
    </r>
    <r>
      <rPr>
        <sz val="13"/>
        <color rgb="FF000000"/>
        <rFont val="Arial"/>
        <family val="2"/>
      </rPr>
      <t>.</t>
    </r>
  </si>
  <si>
    <r>
      <t>상대방을 공식 회의에 참석하게 해서 나의 요구를 설명한다</t>
    </r>
    <r>
      <rPr>
        <sz val="13"/>
        <color rgb="FF000000"/>
        <rFont val="Arial"/>
        <family val="2"/>
      </rPr>
      <t xml:space="preserve">. </t>
    </r>
  </si>
  <si>
    <r>
      <t>내가 원하는 것을 해주는 것에 대한 대가로 직무와 관련된 혜택을 개인적으로 제공한다</t>
    </r>
    <r>
      <rPr>
        <sz val="13"/>
        <color rgb="FF000000"/>
        <rFont val="Arial"/>
        <family val="2"/>
      </rPr>
      <t>.</t>
    </r>
  </si>
  <si>
    <r>
      <t>아이디어를 구체화할 수 있는 상세한 자료를 제공한다</t>
    </r>
    <r>
      <rPr>
        <sz val="13"/>
        <color rgb="FF000000"/>
        <rFont val="Arial"/>
        <family val="2"/>
      </rPr>
      <t>.</t>
    </r>
  </si>
  <si>
    <r>
      <t>내가 원하는 것을 하지 않는다면 불만족한 결과를 얻게 될 것임을 알린다</t>
    </r>
    <r>
      <rPr>
        <sz val="13"/>
        <color rgb="FF000000"/>
        <rFont val="Arial"/>
        <family val="2"/>
      </rPr>
      <t>.</t>
    </r>
  </si>
  <si>
    <r>
      <t>일이 제대로 진행되지 않을 경우 화를 낸다</t>
    </r>
    <r>
      <rPr>
        <sz val="13"/>
        <color rgb="FF000000"/>
        <rFont val="Arial"/>
        <family val="2"/>
      </rPr>
      <t>.</t>
    </r>
  </si>
  <si>
    <r>
      <t>요구에서 생겨난 문제에 대해 미안하게 생각한다</t>
    </r>
    <r>
      <rPr>
        <sz val="13"/>
        <color rgb="FF000000"/>
        <rFont val="Arial"/>
        <family val="2"/>
      </rPr>
      <t>.</t>
    </r>
  </si>
  <si>
    <r>
      <t>상대방이 중요한 인물임을 느끼도록 한다</t>
    </r>
    <r>
      <rPr>
        <sz val="13"/>
        <color rgb="FF000000"/>
        <rFont val="Arial"/>
        <family val="2"/>
      </rPr>
      <t xml:space="preserve">. </t>
    </r>
  </si>
  <si>
    <r>
      <t>내가 원하는 것을 할 수 있도록 지원해 줄 수 있는 사람과 우호적인 관계를 지속적으로 유지한다</t>
    </r>
    <r>
      <rPr>
        <sz val="13"/>
        <color rgb="FF000000"/>
        <rFont val="Arial"/>
        <family val="2"/>
      </rPr>
      <t>.</t>
    </r>
  </si>
  <si>
    <r>
      <t>내가 요구하는 것을 해준다면 개인적인 희생을 감수하겠다고 말한다</t>
    </r>
    <r>
      <rPr>
        <sz val="13"/>
        <color rgb="FF000000"/>
        <rFont val="Arial"/>
        <family val="2"/>
      </rPr>
      <t>.</t>
    </r>
  </si>
  <si>
    <r>
      <t>그 문제에 대한 타협점을 제시한다</t>
    </r>
    <r>
      <rPr>
        <sz val="13"/>
        <color rgb="FF000000"/>
        <rFont val="Arial"/>
        <family val="2"/>
      </rPr>
      <t>.</t>
    </r>
  </si>
  <si>
    <r>
      <t>내가 원하는 것을 할 수</t>
    </r>
    <r>
      <rPr>
        <sz val="13"/>
        <color rgb="FF000000"/>
        <rFont val="Arial"/>
        <family val="2"/>
      </rPr>
      <t xml:space="preserve"> </t>
    </r>
    <r>
      <rPr>
        <sz val="13"/>
        <color rgb="FF000000"/>
        <rFont val="KoPub돋움체 Bold"/>
        <family val="1"/>
        <charset val="129"/>
      </rPr>
      <t>있도록 부하에게 좋은 보상을 약속한다</t>
    </r>
    <r>
      <rPr>
        <sz val="13"/>
        <color rgb="FF000000"/>
        <rFont val="Arial"/>
        <family val="2"/>
      </rPr>
      <t>.</t>
    </r>
  </si>
  <si>
    <r>
      <t>상대방을 무시하지 않고</t>
    </r>
    <r>
      <rPr>
        <sz val="13"/>
        <color rgb="FF000000"/>
        <rFont val="Arial"/>
        <family val="2"/>
      </rPr>
      <t xml:space="preserve">, </t>
    </r>
    <r>
      <rPr>
        <sz val="13"/>
        <color rgb="FF000000"/>
        <rFont val="KoPub돋움체 Bold"/>
        <family val="1"/>
        <charset val="129"/>
      </rPr>
      <t>친근하게 지내려 노력한다</t>
    </r>
    <r>
      <rPr>
        <sz val="13"/>
        <color rgb="FF000000"/>
        <rFont val="Arial"/>
        <family val="2"/>
      </rPr>
      <t xml:space="preserve">.  </t>
    </r>
  </si>
  <si>
    <t>느끼는 대로 표기해 주세요</t>
    <phoneticPr fontId="4" type="noConversion"/>
  </si>
  <si>
    <t>구분</t>
    <phoneticPr fontId="4" type="noConversion"/>
  </si>
  <si>
    <t>문           항</t>
    <phoneticPr fontId="4" type="noConversion"/>
  </si>
  <si>
    <t>소   계</t>
    <phoneticPr fontId="4" type="noConversion"/>
  </si>
  <si>
    <t>평  균</t>
    <phoneticPr fontId="4" type="noConversion"/>
  </si>
  <si>
    <t>응답 결과</t>
    <phoneticPr fontId="4" type="noConversion"/>
  </si>
  <si>
    <t>매우그렇다5/매우그렇지 않다1</t>
    <phoneticPr fontId="4" type="noConversion"/>
  </si>
  <si>
    <t>6, 7, 14, 15, 19, 28</t>
    <phoneticPr fontId="4" type="noConversion"/>
  </si>
  <si>
    <t>2, 10, 11, 18, 21, 25</t>
    <phoneticPr fontId="4" type="noConversion"/>
  </si>
  <si>
    <t>3, 4, 20, 22, 27, 29</t>
    <phoneticPr fontId="4" type="noConversion"/>
  </si>
  <si>
    <t>5, 13, 26, 30</t>
    <phoneticPr fontId="4" type="noConversion"/>
  </si>
  <si>
    <t>1, 9, 17, 24</t>
    <phoneticPr fontId="4" type="noConversion"/>
  </si>
  <si>
    <t>8, 12, 16, 23</t>
    <phoneticPr fontId="4" type="noConversion"/>
  </si>
  <si>
    <t>2, 10, 18, 25</t>
    <phoneticPr fontId="4" type="noConversion"/>
  </si>
  <si>
    <t>3, 11</t>
    <phoneticPr fontId="4" type="noConversion"/>
  </si>
  <si>
    <t>4, 12, 19, 26</t>
    <phoneticPr fontId="4" type="noConversion"/>
  </si>
  <si>
    <t>5, 13, 20, 27</t>
    <phoneticPr fontId="4" type="noConversion"/>
  </si>
  <si>
    <t>6, 14, 21, 28</t>
    <phoneticPr fontId="4" type="noConversion"/>
  </si>
  <si>
    <t>7, 15, 22, 29</t>
    <phoneticPr fontId="4" type="noConversion"/>
  </si>
  <si>
    <t>8, 16, 23, 30</t>
    <phoneticPr fontId="4" type="noConversion"/>
  </si>
  <si>
    <t>Position</t>
  </si>
  <si>
    <t>Personality</t>
  </si>
  <si>
    <t>Relationship</t>
  </si>
  <si>
    <t>Results</t>
  </si>
  <si>
    <t>Development</t>
  </si>
  <si>
    <t>Principles</t>
  </si>
  <si>
    <t>우호성</t>
  </si>
  <si>
    <t>동기유발</t>
  </si>
  <si>
    <t>자문</t>
  </si>
  <si>
    <t>협력제휴</t>
  </si>
  <si>
    <t>협상거래</t>
  </si>
  <si>
    <t>합리적설득</t>
  </si>
  <si>
    <t>합법화</t>
  </si>
  <si>
    <t>강요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</si>
</sst>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3"/>
      <color rgb="FF000000"/>
      <name val="KoPub돋움체 Bold"/>
      <family val="1"/>
      <charset val="129"/>
    </font>
    <font>
      <sz val="13"/>
      <color rgb="FF000000"/>
      <name val="Arial"/>
      <family val="2"/>
    </font>
    <font>
      <sz val="10"/>
      <color rgb="FF000000"/>
      <name val="KoPub돋움체 Bold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KoPub돋움체 Bold"/>
      <family val="1"/>
      <charset val="129"/>
    </font>
    <font>
      <b/>
      <sz val="10"/>
      <color rgb="FF000000"/>
      <name val="KoPub돋움체 Bold"/>
      <family val="1"/>
      <charset val="129"/>
    </font>
    <font>
      <sz val="14"/>
      <color theme="1"/>
      <name val="KoPub돋움체 Bold"/>
      <family val="1"/>
      <charset val="129"/>
    </font>
    <font>
      <sz val="16"/>
      <color theme="0"/>
      <name val="KoPub돋움체 Bold"/>
      <family val="1"/>
      <charset val="129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8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justify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left" vertical="center" indent="1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topLeftCell="A15" zoomScale="76" zoomScaleNormal="76" workbookViewId="0">
      <selection activeCell="I27" sqref="I27"/>
    </sheetView>
  </sheetViews>
  <sheetFormatPr defaultColWidth="8.69921875" defaultRowHeight="19.95" customHeight="1" x14ac:dyDescent="0.4"/>
  <cols>
    <col min="1" max="1" width="8.69921875" style="1"/>
    <col min="2" max="2" width="73.19921875" style="1" customWidth="1"/>
    <col min="3" max="3" width="24.59765625" style="1" bestFit="1" customWidth="1"/>
    <col min="4" max="4" width="2.09765625" style="1" customWidth="1"/>
    <col min="5" max="5" width="10.69921875" style="1" customWidth="1"/>
    <col min="6" max="6" width="17.3984375" style="1" customWidth="1"/>
    <col min="7" max="8" width="16.5" style="1" customWidth="1"/>
    <col min="9" max="14" width="8.69921875" style="1"/>
    <col min="15" max="15" width="10.69921875" style="1" customWidth="1"/>
    <col min="16" max="16" width="17.3984375" style="1" customWidth="1"/>
    <col min="17" max="16384" width="8.69921875" style="1"/>
  </cols>
  <sheetData>
    <row r="1" spans="1:17" ht="40.200000000000003" customHeight="1" x14ac:dyDescent="0.4">
      <c r="A1" s="27" t="s">
        <v>30</v>
      </c>
      <c r="B1" s="27"/>
      <c r="C1" s="27"/>
      <c r="E1" s="27" t="s">
        <v>35</v>
      </c>
      <c r="F1" s="27"/>
      <c r="G1" s="27"/>
      <c r="H1" s="27"/>
    </row>
    <row r="2" spans="1:17" ht="10.95" customHeight="1" x14ac:dyDescent="0.4">
      <c r="A2" s="3"/>
      <c r="B2" s="3"/>
    </row>
    <row r="3" spans="1:17" s="2" customFormat="1" ht="23.4" customHeight="1" x14ac:dyDescent="0.4">
      <c r="A3" s="8" t="s">
        <v>31</v>
      </c>
      <c r="B3" s="8" t="s">
        <v>32</v>
      </c>
      <c r="C3" s="8" t="s">
        <v>36</v>
      </c>
      <c r="E3" s="30"/>
      <c r="F3" s="31"/>
      <c r="G3" s="9" t="s">
        <v>33</v>
      </c>
      <c r="H3" s="9" t="s">
        <v>34</v>
      </c>
    </row>
    <row r="4" spans="1:17" ht="19.95" customHeight="1" x14ac:dyDescent="0.4">
      <c r="A4" s="5">
        <v>1</v>
      </c>
      <c r="B4" s="6" t="s">
        <v>1</v>
      </c>
      <c r="C4" s="11">
        <v>5</v>
      </c>
      <c r="E4" s="4"/>
      <c r="F4" s="20"/>
      <c r="G4" s="13">
        <f>SUM(C9,C10,C17,C18,C22,C31)</f>
        <v>23</v>
      </c>
      <c r="H4" s="12">
        <f>G4/6</f>
        <v>3.8333333333333335</v>
      </c>
      <c r="J4" s="1" t="s">
        <v>37</v>
      </c>
      <c r="O4" s="4"/>
      <c r="P4" s="20" t="s">
        <v>50</v>
      </c>
      <c r="Q4" s="1" t="s">
        <v>37</v>
      </c>
    </row>
    <row r="5" spans="1:17" ht="19.95" customHeight="1" x14ac:dyDescent="0.4">
      <c r="A5" s="5">
        <v>2</v>
      </c>
      <c r="B5" s="6" t="s">
        <v>2</v>
      </c>
      <c r="C5" s="11">
        <v>5</v>
      </c>
      <c r="E5" s="4"/>
      <c r="F5" s="20"/>
      <c r="G5" s="13">
        <f>SUM(C5,C13,C14,C21,C24,C28)</f>
        <v>27</v>
      </c>
      <c r="H5" s="12">
        <f>G5/6</f>
        <v>4.5</v>
      </c>
      <c r="J5" s="1" t="s">
        <v>38</v>
      </c>
      <c r="O5" s="4"/>
      <c r="P5" s="20" t="s">
        <v>51</v>
      </c>
      <c r="Q5" s="1" t="s">
        <v>38</v>
      </c>
    </row>
    <row r="6" spans="1:17" ht="19.95" customHeight="1" x14ac:dyDescent="0.4">
      <c r="A6" s="5">
        <v>3</v>
      </c>
      <c r="B6" s="6" t="s">
        <v>3</v>
      </c>
      <c r="C6" s="11">
        <v>5</v>
      </c>
      <c r="E6" s="4"/>
      <c r="F6" s="20"/>
      <c r="G6" s="13">
        <f>SUM(C6,C7,C23,C25,C30,C32)</f>
        <v>19</v>
      </c>
      <c r="H6" s="12">
        <f>G6/6</f>
        <v>3.1666666666666665</v>
      </c>
      <c r="J6" s="1" t="s">
        <v>39</v>
      </c>
      <c r="O6" s="4"/>
      <c r="P6" s="20" t="s">
        <v>52</v>
      </c>
      <c r="Q6" s="1" t="s">
        <v>39</v>
      </c>
    </row>
    <row r="7" spans="1:17" ht="19.95" customHeight="1" x14ac:dyDescent="0.4">
      <c r="A7" s="5">
        <v>4</v>
      </c>
      <c r="B7" s="6" t="s">
        <v>4</v>
      </c>
      <c r="C7" s="11">
        <v>5</v>
      </c>
      <c r="E7" s="4"/>
      <c r="F7" s="20"/>
      <c r="G7" s="13">
        <f>SUM(C8,C16,C29,C33)</f>
        <v>15</v>
      </c>
      <c r="H7" s="12">
        <f>G7/4</f>
        <v>3.75</v>
      </c>
      <c r="J7" s="1" t="s">
        <v>40</v>
      </c>
      <c r="O7" s="4"/>
      <c r="P7" s="20" t="s">
        <v>53</v>
      </c>
      <c r="Q7" s="1" t="s">
        <v>40</v>
      </c>
    </row>
    <row r="8" spans="1:17" ht="19.95" customHeight="1" x14ac:dyDescent="0.4">
      <c r="A8" s="5">
        <v>5</v>
      </c>
      <c r="B8" s="6" t="s">
        <v>5</v>
      </c>
      <c r="C8" s="11">
        <v>4</v>
      </c>
      <c r="E8" s="4"/>
      <c r="F8" s="20"/>
      <c r="G8" s="13">
        <f>SUM(C4,C12,C20,C27)</f>
        <v>20</v>
      </c>
      <c r="H8" s="12">
        <f>G8/4</f>
        <v>5</v>
      </c>
      <c r="J8" s="1" t="s">
        <v>41</v>
      </c>
      <c r="O8" s="4"/>
      <c r="P8" s="20" t="s">
        <v>54</v>
      </c>
      <c r="Q8" s="1" t="s">
        <v>41</v>
      </c>
    </row>
    <row r="9" spans="1:17" ht="19.95" customHeight="1" x14ac:dyDescent="0.4">
      <c r="A9" s="5">
        <v>6</v>
      </c>
      <c r="B9" s="6" t="s">
        <v>6</v>
      </c>
      <c r="C9" s="11">
        <v>5</v>
      </c>
      <c r="E9" s="4"/>
      <c r="F9" s="20"/>
      <c r="G9" s="13">
        <f>SUM(C11,C15,C19,C26)</f>
        <v>9</v>
      </c>
      <c r="H9" s="12">
        <f>G9/4</f>
        <v>2.25</v>
      </c>
      <c r="J9" s="1" t="s">
        <v>42</v>
      </c>
      <c r="O9" s="4"/>
      <c r="P9" s="20" t="s">
        <v>55</v>
      </c>
      <c r="Q9" s="1" t="s">
        <v>42</v>
      </c>
    </row>
    <row r="10" spans="1:17" ht="19.95" customHeight="1" x14ac:dyDescent="0.4">
      <c r="A10" s="5">
        <v>7</v>
      </c>
      <c r="B10" s="6" t="s">
        <v>7</v>
      </c>
      <c r="C10" s="11">
        <v>3</v>
      </c>
      <c r="G10" s="2"/>
    </row>
    <row r="11" spans="1:17" ht="19.95" customHeight="1" x14ac:dyDescent="0.4">
      <c r="A11" s="5">
        <v>8</v>
      </c>
      <c r="B11" s="6" t="s">
        <v>8</v>
      </c>
      <c r="C11" s="11">
        <v>3</v>
      </c>
      <c r="E11" s="28"/>
      <c r="F11" s="29"/>
      <c r="G11" s="10" t="s">
        <v>33</v>
      </c>
      <c r="H11" s="10" t="s">
        <v>34</v>
      </c>
      <c r="O11" s="28"/>
      <c r="P11" s="29"/>
    </row>
    <row r="12" spans="1:17" ht="19.95" customHeight="1" x14ac:dyDescent="0.4">
      <c r="A12" s="5">
        <v>9</v>
      </c>
      <c r="B12" s="6" t="s">
        <v>14</v>
      </c>
      <c r="C12" s="11">
        <v>5</v>
      </c>
      <c r="E12" s="21"/>
      <c r="F12" s="18"/>
      <c r="G12" s="14">
        <f>SUM(C4,C12,C20,C27)</f>
        <v>20</v>
      </c>
      <c r="H12" s="17">
        <f>G12/4</f>
        <v>5</v>
      </c>
      <c r="J12" s="1" t="s">
        <v>41</v>
      </c>
      <c r="O12" s="21"/>
      <c r="P12" s="18" t="s">
        <v>56</v>
      </c>
      <c r="Q12" s="1" t="s">
        <v>41</v>
      </c>
    </row>
    <row r="13" spans="1:17" ht="19.95" customHeight="1" x14ac:dyDescent="0.4">
      <c r="A13" s="5">
        <v>10</v>
      </c>
      <c r="B13" s="7" t="s">
        <v>9</v>
      </c>
      <c r="C13" s="11">
        <v>5</v>
      </c>
      <c r="E13" s="22"/>
      <c r="F13" s="18"/>
      <c r="G13" s="14">
        <f>SUM(C5,C13,C21,C28)</f>
        <v>20</v>
      </c>
      <c r="H13" s="17">
        <f>G13/4</f>
        <v>5</v>
      </c>
      <c r="J13" s="1" t="s">
        <v>43</v>
      </c>
      <c r="O13" s="22"/>
      <c r="P13" s="18" t="s">
        <v>57</v>
      </c>
      <c r="Q13" s="1" t="s">
        <v>43</v>
      </c>
    </row>
    <row r="14" spans="1:17" ht="19.95" customHeight="1" x14ac:dyDescent="0.4">
      <c r="A14" s="5">
        <v>11</v>
      </c>
      <c r="B14" s="6" t="s">
        <v>10</v>
      </c>
      <c r="C14" s="11">
        <v>3</v>
      </c>
      <c r="E14" s="23"/>
      <c r="F14" s="18"/>
      <c r="G14" s="14">
        <f>C6+C14</f>
        <v>8</v>
      </c>
      <c r="H14" s="17">
        <f>G14/2</f>
        <v>4</v>
      </c>
      <c r="J14" s="1" t="s">
        <v>44</v>
      </c>
      <c r="O14" s="23"/>
      <c r="P14" s="18" t="s">
        <v>58</v>
      </c>
      <c r="Q14" s="1" t="s">
        <v>44</v>
      </c>
    </row>
    <row r="15" spans="1:17" ht="19.95" customHeight="1" x14ac:dyDescent="0.4">
      <c r="A15" s="5">
        <v>12</v>
      </c>
      <c r="B15" s="7" t="s">
        <v>11</v>
      </c>
      <c r="C15" s="11">
        <v>3</v>
      </c>
      <c r="E15" s="24"/>
      <c r="F15" s="19"/>
      <c r="G15" s="15">
        <f>SUM(C7,C15,C22,C29)</f>
        <v>15</v>
      </c>
      <c r="H15" s="16">
        <f>G15/4</f>
        <v>3.75</v>
      </c>
      <c r="J15" s="1" t="s">
        <v>45</v>
      </c>
      <c r="O15" s="24"/>
      <c r="P15" s="19" t="s">
        <v>59</v>
      </c>
      <c r="Q15" s="1" t="s">
        <v>45</v>
      </c>
    </row>
    <row r="16" spans="1:17" ht="19.95" customHeight="1" x14ac:dyDescent="0.4">
      <c r="A16" s="5">
        <v>13</v>
      </c>
      <c r="B16" s="6" t="s">
        <v>12</v>
      </c>
      <c r="C16" s="11">
        <v>1</v>
      </c>
      <c r="E16" s="25"/>
      <c r="F16" s="19"/>
      <c r="G16" s="15">
        <f>SUM(C8,C16,C23,C30)</f>
        <v>9</v>
      </c>
      <c r="H16" s="16">
        <f>G16/4</f>
        <v>2.25</v>
      </c>
      <c r="J16" s="1" t="s">
        <v>46</v>
      </c>
      <c r="O16" s="25"/>
      <c r="P16" s="19" t="s">
        <v>60</v>
      </c>
      <c r="Q16" s="1" t="s">
        <v>46</v>
      </c>
    </row>
    <row r="17" spans="1:17" ht="19.95" customHeight="1" x14ac:dyDescent="0.4">
      <c r="A17" s="5">
        <v>14</v>
      </c>
      <c r="B17" s="6" t="s">
        <v>0</v>
      </c>
      <c r="C17" s="11">
        <v>5</v>
      </c>
      <c r="E17" s="25"/>
      <c r="F17" s="19"/>
      <c r="G17" s="15">
        <f>SUM(C9,C17,C24,C31)</f>
        <v>18</v>
      </c>
      <c r="H17" s="16">
        <f>G17/4</f>
        <v>4.5</v>
      </c>
      <c r="J17" s="1" t="s">
        <v>47</v>
      </c>
      <c r="O17" s="25"/>
      <c r="P17" s="19" t="s">
        <v>61</v>
      </c>
      <c r="Q17" s="1" t="s">
        <v>47</v>
      </c>
    </row>
    <row r="18" spans="1:17" ht="19.95" customHeight="1" x14ac:dyDescent="0.4">
      <c r="A18" s="5">
        <v>15</v>
      </c>
      <c r="B18" s="6" t="s">
        <v>13</v>
      </c>
      <c r="C18" s="11">
        <v>4</v>
      </c>
      <c r="E18" s="25"/>
      <c r="F18" s="19"/>
      <c r="G18" s="15">
        <f>SUM(C10,C18,C25,C32)</f>
        <v>12</v>
      </c>
      <c r="H18" s="16">
        <f>G18/4</f>
        <v>3</v>
      </c>
      <c r="J18" s="1" t="s">
        <v>48</v>
      </c>
      <c r="O18" s="25"/>
      <c r="P18" s="19" t="s">
        <v>62</v>
      </c>
      <c r="Q18" s="1" t="s">
        <v>48</v>
      </c>
    </row>
    <row r="19" spans="1:17" ht="19.95" customHeight="1" x14ac:dyDescent="0.4">
      <c r="A19" s="5">
        <v>16</v>
      </c>
      <c r="B19" s="6" t="s">
        <v>15</v>
      </c>
      <c r="C19" s="11">
        <v>1</v>
      </c>
      <c r="E19" s="26"/>
      <c r="F19" s="19"/>
      <c r="G19" s="15">
        <f>SUM(C11,C19,C26,C33)</f>
        <v>11</v>
      </c>
      <c r="H19" s="16">
        <f>G19/4</f>
        <v>2.75</v>
      </c>
      <c r="J19" s="1" t="s">
        <v>49</v>
      </c>
      <c r="O19" s="26"/>
      <c r="P19" s="19" t="s">
        <v>63</v>
      </c>
      <c r="Q19" s="1" t="s">
        <v>49</v>
      </c>
    </row>
    <row r="20" spans="1:17" ht="19.95" customHeight="1" x14ac:dyDescent="0.4">
      <c r="A20" s="5">
        <v>17</v>
      </c>
      <c r="B20" s="6" t="s">
        <v>16</v>
      </c>
      <c r="C20" s="11">
        <v>5</v>
      </c>
      <c r="G20" s="2"/>
      <c r="H20" s="2"/>
    </row>
    <row r="21" spans="1:17" ht="19.95" customHeight="1" x14ac:dyDescent="0.4">
      <c r="A21" s="5">
        <v>18</v>
      </c>
      <c r="B21" s="6" t="s">
        <v>17</v>
      </c>
      <c r="C21" s="11">
        <v>5</v>
      </c>
      <c r="G21" s="2"/>
      <c r="H21" s="2"/>
    </row>
    <row r="22" spans="1:17" ht="19.95" customHeight="1" x14ac:dyDescent="0.4">
      <c r="A22" s="5">
        <v>19</v>
      </c>
      <c r="B22" s="6" t="s">
        <v>18</v>
      </c>
      <c r="C22" s="11">
        <v>2</v>
      </c>
    </row>
    <row r="23" spans="1:17" ht="19.95" customHeight="1" x14ac:dyDescent="0.4">
      <c r="A23" s="5">
        <v>20</v>
      </c>
      <c r="B23" s="6" t="s">
        <v>19</v>
      </c>
      <c r="C23" s="11">
        <v>3</v>
      </c>
    </row>
    <row r="24" spans="1:17" ht="19.95" customHeight="1" x14ac:dyDescent="0.4">
      <c r="A24" s="5">
        <v>21</v>
      </c>
      <c r="B24" s="6" t="s">
        <v>20</v>
      </c>
      <c r="C24" s="11">
        <v>4</v>
      </c>
    </row>
    <row r="25" spans="1:17" ht="19.95" customHeight="1" x14ac:dyDescent="0.4">
      <c r="A25" s="5">
        <v>22</v>
      </c>
      <c r="B25" s="6" t="s">
        <v>21</v>
      </c>
      <c r="C25" s="11">
        <v>1</v>
      </c>
    </row>
    <row r="26" spans="1:17" ht="19.95" customHeight="1" x14ac:dyDescent="0.4">
      <c r="A26" s="5">
        <v>23</v>
      </c>
      <c r="B26" s="6" t="s">
        <v>22</v>
      </c>
      <c r="C26" s="11">
        <v>2</v>
      </c>
    </row>
    <row r="27" spans="1:17" ht="19.95" customHeight="1" x14ac:dyDescent="0.4">
      <c r="A27" s="5">
        <v>24</v>
      </c>
      <c r="B27" s="6" t="s">
        <v>23</v>
      </c>
      <c r="C27" s="11">
        <v>5</v>
      </c>
    </row>
    <row r="28" spans="1:17" ht="19.95" customHeight="1" x14ac:dyDescent="0.4">
      <c r="A28" s="5">
        <v>25</v>
      </c>
      <c r="B28" s="6" t="s">
        <v>24</v>
      </c>
      <c r="C28" s="11">
        <v>5</v>
      </c>
    </row>
    <row r="29" spans="1:17" ht="19.95" customHeight="1" x14ac:dyDescent="0.4">
      <c r="A29" s="5">
        <v>26</v>
      </c>
      <c r="B29" s="6" t="s">
        <v>25</v>
      </c>
      <c r="C29" s="11">
        <v>5</v>
      </c>
    </row>
    <row r="30" spans="1:17" ht="19.95" customHeight="1" x14ac:dyDescent="0.4">
      <c r="A30" s="5">
        <v>27</v>
      </c>
      <c r="B30" s="6" t="s">
        <v>26</v>
      </c>
      <c r="C30" s="11">
        <v>1</v>
      </c>
    </row>
    <row r="31" spans="1:17" ht="19.95" customHeight="1" x14ac:dyDescent="0.4">
      <c r="A31" s="5">
        <v>28</v>
      </c>
      <c r="B31" s="6" t="s">
        <v>27</v>
      </c>
      <c r="C31" s="11">
        <v>4</v>
      </c>
    </row>
    <row r="32" spans="1:17" ht="19.95" customHeight="1" x14ac:dyDescent="0.4">
      <c r="A32" s="5">
        <v>29</v>
      </c>
      <c r="B32" s="6" t="s">
        <v>28</v>
      </c>
      <c r="C32" s="11">
        <v>4</v>
      </c>
    </row>
    <row r="33" spans="1:3" ht="19.95" customHeight="1" x14ac:dyDescent="0.4">
      <c r="A33" s="5">
        <v>30</v>
      </c>
      <c r="B33" s="6" t="s">
        <v>29</v>
      </c>
      <c r="C33" s="11">
        <v>5</v>
      </c>
    </row>
  </sheetData>
  <mergeCells count="9">
    <mergeCell ref="O11:P11"/>
    <mergeCell ref="O12:O14"/>
    <mergeCell ref="O15:O19"/>
    <mergeCell ref="E12:E14"/>
    <mergeCell ref="E15:E19"/>
    <mergeCell ref="E1:H1"/>
    <mergeCell ref="A1:C1"/>
    <mergeCell ref="E11:F11"/>
    <mergeCell ref="E3:F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설문문항_13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Choi</dc:creator>
  <cp:lastModifiedBy>클릭 3</cp:lastModifiedBy>
  <dcterms:created xsi:type="dcterms:W3CDTF">2022-06-15T09:04:08Z</dcterms:created>
  <dcterms:modified xsi:type="dcterms:W3CDTF">2026-03-18T08:08:57Z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MywgIm5vZGUxIiA6IHsiZHNkIjoiMDEwMDAwMDAwMDAwMjQ2NiIsImxvZ1RpbWUiOiIyMDI1LTA5LTAyVDAwOjMyOjE2WiIsInBJRCI6MSwicHJvY2Vzc0lkIjoxMzI0LCJwcm9jZXNzTmFtZSI6ImZfYmF0bWdyLmV4ZSIsInRyYWNlSWQiOiI4NkU3NjEyQzdFRkQ0RTVCOURCQ0M3QkU5OEM2MkVEMCIsInVzZXJDb2RlIjoiMTAyNDUwMTUifSwibm9kZTIiIDogeyJkc2QiOiIwMTAwMDAwMDAwMDAyNDY2IiwibG9nVGltZSI6IjIwMjUtMDktMDJUMDA6MzI6MTZaIiwicElEIjoxLCJwcm9jZXNzSWQiOjEzMjQsInByb2Nlc3NOYW1lIjoiZl9iYXRtZ3IuZXhlIiwidHJhY2VJZCI6Ijg2RTc2MTJDN0VGRDRFNUI5REJDQzdCRTk4QzYyRUQwIiwidXNlckNvZGUiOiIxMDI0NTAxNSJ9LCJub2RlMyIgOiB7ImRzZCI6IjAxMDAwMDAwMDAwMDI0NjYiLCJsb2dUaW1lIjoiMjAyNS0wOS0wMlQwMDozMjoxNloiLCJwSUQiOjEsInByb2Nlc3NJZCI6MTMyNCwicHJvY2Vzc05hbWUiOiJmX2JhdG1nci5leGUiLCJ0cmFjZUlkIjoiODZFNzYxMkM3RUZENEU1QjlEQkNDN0JFOThDNjJFRDAiLCJ1c2VyQ29kZSI6IjEwMjQ1MDE1In0sIm5vZGU0IiA6IHsiZHNkIjoiMDEwMDAwMDAwMDAwMjQ2NiIsImxvZ1RpbWUiOiIyMDI1LTA5LTA0VDA0OjU5OjM5WiIsInBJRCI6MSwicHJvY2Vzc0lkIjoyMzY4MCwicHJvY2Vzc05hbWUiOiJFWENFTC5FWEUiLCJ0cmFjZUlkIjoiQTMxNjM3MjQ5RUY1NEVGMzk2QjM5Q0E5OUZDQjAxOTMiLCJ1c2VyQ29kZSI6IjEwMjQ1MDE1In0sIm5vZGU1IiA6IHsgInVzZXJDb2RlIiA6ICIxMDI0NTAxNSIsICJ0cmFjZUlkIiA6ICIxMkJDNEY0NDk0NEIzMEY4NzYyMzQ5OTE4MTMyRkU2OCIsICJkc2QiIDogIjAwMDAwMDAwMDAwMDAwMDAiLCAicElEIiA6ICIyMDQ4IiwgImxvZ1RpbWUiIDogIjIwMjUtMDktMDVUMDI6Mjc6MDVaIiB9fQ==</vt:lpwstr>
  </property>
</Properties>
</file>